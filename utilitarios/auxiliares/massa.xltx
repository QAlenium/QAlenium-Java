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830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gabriel.fraga\Desktop\"/>
    </mc:Choice>
  </mc:AlternateContent>
  <bookViews>
    <workbookView xWindow="0" yWindow="0" windowWidth="20490" windowHeight="7530"/>
  </bookViews>
  <sheets>
    <sheet name="SEC_v1.4" sheetId="2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" i="2" l="1"/>
  <c r="E11" i="2"/>
  <c r="E12" i="2"/>
  <c r="E13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B5" i="2" l="1"/>
  <c r="E8" i="2"/>
  <c r="F20" i="2" l="1"/>
  <c r="F24" i="2"/>
  <c r="F28" i="2"/>
  <c r="F36" i="2"/>
  <c r="F40" i="2"/>
  <c r="F44" i="2"/>
  <c r="F52" i="2"/>
  <c r="F56" i="2"/>
  <c r="F60" i="2"/>
  <c r="F68" i="2"/>
  <c r="F72" i="2"/>
  <c r="F76" i="2"/>
  <c r="F80" i="2"/>
  <c r="F88" i="2"/>
  <c r="F92" i="2"/>
  <c r="F100" i="2"/>
  <c r="F112" i="2"/>
  <c r="F116" i="2"/>
  <c r="F120" i="2"/>
  <c r="F12" i="2"/>
  <c r="F32" i="2"/>
  <c r="F48" i="2"/>
  <c r="F64" i="2"/>
  <c r="F84" i="2"/>
  <c r="F104" i="2"/>
  <c r="F16" i="2"/>
  <c r="F101" i="2"/>
  <c r="F105" i="2"/>
  <c r="F108" i="2"/>
  <c r="F113" i="2"/>
  <c r="F117" i="2"/>
  <c r="F121" i="2"/>
  <c r="F96" i="2"/>
  <c r="F15" i="2"/>
  <c r="F19" i="2"/>
  <c r="F27" i="2"/>
  <c r="F39" i="2"/>
  <c r="F43" i="2"/>
  <c r="F47" i="2"/>
  <c r="F59" i="2"/>
  <c r="F63" i="2"/>
  <c r="F67" i="2"/>
  <c r="F71" i="2"/>
  <c r="F75" i="2"/>
  <c r="F83" i="2"/>
  <c r="F87" i="2"/>
  <c r="F97" i="2"/>
  <c r="F109" i="2"/>
  <c r="F110" i="2"/>
  <c r="F10" i="2"/>
  <c r="F14" i="2"/>
  <c r="F22" i="2"/>
  <c r="F26" i="2"/>
  <c r="F30" i="2"/>
  <c r="F34" i="2"/>
  <c r="F42" i="2"/>
  <c r="F46" i="2"/>
  <c r="F54" i="2"/>
  <c r="F58" i="2"/>
  <c r="F66" i="2"/>
  <c r="F70" i="2"/>
  <c r="F78" i="2"/>
  <c r="F82" i="2"/>
  <c r="F90" i="2"/>
  <c r="F94" i="2"/>
  <c r="F98" i="2"/>
  <c r="F102" i="2"/>
  <c r="F114" i="2"/>
  <c r="F118" i="2"/>
  <c r="F9" i="2"/>
  <c r="F17" i="2"/>
  <c r="F25" i="2"/>
  <c r="F29" i="2"/>
  <c r="F33" i="2"/>
  <c r="F37" i="2"/>
  <c r="F41" i="2"/>
  <c r="F45" i="2"/>
  <c r="F49" i="2"/>
  <c r="F53" i="2"/>
  <c r="F61" i="2"/>
  <c r="F69" i="2"/>
  <c r="F73" i="2"/>
  <c r="F81" i="2"/>
  <c r="F89" i="2"/>
  <c r="F93" i="2"/>
  <c r="F13" i="2"/>
  <c r="F31" i="2"/>
  <c r="F35" i="2"/>
  <c r="F55" i="2"/>
  <c r="F57" i="2"/>
  <c r="F65" i="2"/>
  <c r="F77" i="2"/>
  <c r="F79" i="2"/>
  <c r="F91" i="2"/>
  <c r="F95" i="2"/>
  <c r="F99" i="2"/>
  <c r="F103" i="2"/>
  <c r="F107" i="2"/>
  <c r="F111" i="2"/>
  <c r="F115" i="2"/>
  <c r="F119" i="2"/>
  <c r="F123" i="2"/>
  <c r="F11" i="2"/>
  <c r="F18" i="2"/>
  <c r="F21" i="2"/>
  <c r="F23" i="2"/>
  <c r="F38" i="2"/>
  <c r="F50" i="2"/>
  <c r="F51" i="2"/>
  <c r="F62" i="2"/>
  <c r="F74" i="2"/>
  <c r="F85" i="2"/>
  <c r="F86" i="2"/>
  <c r="F106" i="2"/>
  <c r="F122" i="2"/>
  <c r="F8" i="2"/>
  <c r="D5" i="2" l="1"/>
  <c r="F5" i="2" s="1"/>
  <c r="D9" i="2" l="1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8" i="2"/>
</calcChain>
</file>

<file path=xl/sharedStrings.xml><?xml version="1.0" encoding="utf-8"?>
<sst xmlns="http://schemas.openxmlformats.org/spreadsheetml/2006/main" count="131" uniqueCount="129">
  <si>
    <t>Área reservada 5</t>
  </si>
  <si>
    <t>Área reservada 4</t>
  </si>
  <si>
    <t>Prazo do Flex Car</t>
  </si>
  <si>
    <t>Flag Prazo do Flex Car</t>
  </si>
  <si>
    <t>Taxa do Flex Car</t>
  </si>
  <si>
    <t>Flag Taxa do Flex Car</t>
  </si>
  <si>
    <t>Flex Car</t>
  </si>
  <si>
    <t>Flag Flex Car</t>
  </si>
  <si>
    <t>Prazo do Troco Fácil</t>
  </si>
  <si>
    <t>Flag Prazo do Troco Fácil</t>
  </si>
  <si>
    <t>Taxa do Troco Fácil</t>
  </si>
  <si>
    <t>Flag Taxa do Troco Fácil</t>
  </si>
  <si>
    <t>Troco Fácil</t>
  </si>
  <si>
    <t>Flag Troco Fácil</t>
  </si>
  <si>
    <t>Área reservada 3</t>
  </si>
  <si>
    <t>Área reservada 2</t>
  </si>
  <si>
    <t>Operadora de Saúde</t>
  </si>
  <si>
    <t>Flag Operadora de Saúde</t>
  </si>
  <si>
    <t>Dupl. Cadastro</t>
  </si>
  <si>
    <t>Flag Dupl. Cadastro</t>
  </si>
  <si>
    <t>Protocolo</t>
  </si>
  <si>
    <t>Flag Protocolo</t>
  </si>
  <si>
    <t>Conta</t>
  </si>
  <si>
    <t>Flag Conta</t>
  </si>
  <si>
    <t>Agência</t>
  </si>
  <si>
    <t>Flag Agência</t>
  </si>
  <si>
    <t>Banco</t>
  </si>
  <si>
    <t>Flag Banco</t>
  </si>
  <si>
    <t>Data Afiliação</t>
  </si>
  <si>
    <t>Dados Informais</t>
  </si>
  <si>
    <t xml:space="preserve">Área reservada 1 </t>
  </si>
  <si>
    <t>Cliente MEI</t>
  </si>
  <si>
    <t>Flag MEI</t>
  </si>
  <si>
    <t>Indicador Mobile</t>
  </si>
  <si>
    <t>Flag Indicador Mobile</t>
  </si>
  <si>
    <t>Complemento do MCC</t>
  </si>
  <si>
    <t>Flag do complemento do MCC</t>
  </si>
  <si>
    <t>Tipo de Terminal</t>
  </si>
  <si>
    <t>Flag do Tipo de Terminal</t>
  </si>
  <si>
    <t>Centro de Compras</t>
  </si>
  <si>
    <t>Flag Centro de Compras</t>
  </si>
  <si>
    <t xml:space="preserve">Tipo de Pessoa              </t>
  </si>
  <si>
    <t>Flag do Tipo de Pessoa</t>
  </si>
  <si>
    <t xml:space="preserve">Data de Nascimento do Proprietário 3 </t>
  </si>
  <si>
    <t>Flag Data de Nascimento Proprietário-3</t>
  </si>
  <si>
    <t xml:space="preserve">CPF  do Proprietário 3 </t>
  </si>
  <si>
    <t>Flag do CPF do proprietário 3</t>
  </si>
  <si>
    <t xml:space="preserve">Nome do Proprietário 3 </t>
  </si>
  <si>
    <t>Flag do Nome do Proprietário 3</t>
  </si>
  <si>
    <t xml:space="preserve">Data de Nascimento do Proprietário 2 </t>
  </si>
  <si>
    <t>Flag Data de Nascimento Proprietário-2</t>
  </si>
  <si>
    <t xml:space="preserve">CPF do Proprietário 2 </t>
  </si>
  <si>
    <t>Flag do CPF do proprietário 2</t>
  </si>
  <si>
    <t xml:space="preserve">Nome do Proprietário 2 </t>
  </si>
  <si>
    <t>Flag do Nome do Proprietário 2</t>
  </si>
  <si>
    <t xml:space="preserve">Data de Nascimento do Proprietário 1 </t>
  </si>
  <si>
    <t>Flag Data de Nascimento Proprietário 1</t>
  </si>
  <si>
    <t xml:space="preserve">CPF  do Proprietário 1 </t>
  </si>
  <si>
    <t>Flag do CPF do proprietário 1</t>
  </si>
  <si>
    <t xml:space="preserve">Nome do Proprietário 1 </t>
  </si>
  <si>
    <t>Flag do Nome do Proprietário 1</t>
  </si>
  <si>
    <t xml:space="preserve">Número da Conta Corrente   </t>
  </si>
  <si>
    <t xml:space="preserve">Flag da Conta Corrente    </t>
  </si>
  <si>
    <t>Código da Agência</t>
  </si>
  <si>
    <t xml:space="preserve">Flag da Agência     </t>
  </si>
  <si>
    <t>Código do Ramo de Atividade</t>
  </si>
  <si>
    <t>Flag do Ramo de Atividade</t>
  </si>
  <si>
    <t>Reservado Cielo</t>
  </si>
  <si>
    <t xml:space="preserve">Reservado Cielo         </t>
  </si>
  <si>
    <t>Filler</t>
  </si>
  <si>
    <t xml:space="preserve">Pessoa para Contato    </t>
  </si>
  <si>
    <t>Flag da Pessoa para Contato</t>
  </si>
  <si>
    <t>Nome da Plaqueta</t>
  </si>
  <si>
    <t>Flag do Nome da Plaqueta</t>
  </si>
  <si>
    <t>CEP do Estabelecimento</t>
  </si>
  <si>
    <t>Flag do CEP do Estabelecimento</t>
  </si>
  <si>
    <t>Estado do Estabelecimento</t>
  </si>
  <si>
    <t>Flag do Estado do Estabelecimento</t>
  </si>
  <si>
    <t>Cidade do Estabelecimento</t>
  </si>
  <si>
    <t>Flag da Cidade do Estabelecimento</t>
  </si>
  <si>
    <t>Flag do Endereço do Estabelecimento</t>
  </si>
  <si>
    <t xml:space="preserve">Nome Fantasia                 </t>
  </si>
  <si>
    <t>Flag do Nome Fantasia</t>
  </si>
  <si>
    <t>Inscrição Estadual</t>
  </si>
  <si>
    <t xml:space="preserve">Flag da Inscrição Estadual  </t>
  </si>
  <si>
    <t>CEP de Correspondência</t>
  </si>
  <si>
    <t>Flag do CEP</t>
  </si>
  <si>
    <t>Estado de Correspondência</t>
  </si>
  <si>
    <t>Flag do Estado</t>
  </si>
  <si>
    <t>Cidade de Correspondência</t>
  </si>
  <si>
    <t>Flag da Cidade</t>
  </si>
  <si>
    <t>Complemento do Logradouro corresp.</t>
  </si>
  <si>
    <t>Logradouro de correspondência</t>
  </si>
  <si>
    <t>Flag do Endereço de Correspondência</t>
  </si>
  <si>
    <t>Razão social do Estabelecimento</t>
  </si>
  <si>
    <t>Flag da Razão Social</t>
  </si>
  <si>
    <t xml:space="preserve">Número do Estabelecimento </t>
  </si>
  <si>
    <t xml:space="preserve">Flag do Banco </t>
  </si>
  <si>
    <t>Código de erro</t>
  </si>
  <si>
    <t xml:space="preserve">Vago obrigatório </t>
  </si>
  <si>
    <t>Número de identificação da chamada</t>
  </si>
  <si>
    <t>Número da Instituição financeira</t>
  </si>
  <si>
    <t xml:space="preserve">Código da Mensagem </t>
  </si>
  <si>
    <t>Num_Caracteres</t>
  </si>
  <si>
    <t>POS</t>
  </si>
  <si>
    <t>CONFIG.</t>
  </si>
  <si>
    <t>CAMPO</t>
  </si>
  <si>
    <t>Para utilizar essa planilha basta colocar a string para extração sem quebras de linha em "B5" (&lt;F2&gt; + paste). O resultado é automaticamente extraído na coluna "E" (Extraído). Essa extração funciona apenas para o esquema apresentado no Caso de Uso "UC11715 - Credencial Cliente - Banco on-line - SEC_v1.4". Para outros esquemas favor consultar o Glauco Ramalho.</t>
  </si>
  <si>
    <t>Flag do CNPJ/CPF</t>
  </si>
  <si>
    <t>CNPJ/CPF</t>
  </si>
  <si>
    <t>Logradouro do Estabelecimento</t>
  </si>
  <si>
    <t>Complemento do Logradouro do estabelecimento</t>
  </si>
  <si>
    <t>Flag do DDD do Telefone Comercial</t>
  </si>
  <si>
    <t>DDD do Telefone Comercial</t>
  </si>
  <si>
    <t xml:space="preserve">Flag do Telefone Comercial      </t>
  </si>
  <si>
    <t xml:space="preserve">Número do Telefone Comercial  </t>
  </si>
  <si>
    <t>Flag do DDD do Telefone Celular</t>
  </si>
  <si>
    <t>DDD do Telefone Celular</t>
  </si>
  <si>
    <t xml:space="preserve">Flag do Telefone  Celular    </t>
  </si>
  <si>
    <t>Número do Telefone do Celular</t>
  </si>
  <si>
    <t>String para extração</t>
  </si>
  <si>
    <t>Caracteres</t>
  </si>
  <si>
    <t>Extract</t>
  </si>
  <si>
    <t>Caracteres_Extração</t>
  </si>
  <si>
    <t>Campos Extraídos</t>
  </si>
  <si>
    <t>0450033AE54                   0000033000000000000YAMANTESTESCREDENCIAMENTO       00ENDERECO DE CORRESPONDENCIA 0001ENDERECO DE CORRESPONDENCIA 000200SAO PAULO                   00SP0012460001000000254765250170000000000000001500NOME FANTASIA                   00ENDERECO DO ESTABELECIMENTO 0001ENDERECO DO ESTABELECIMENTO 000200SAO PAULO                   00SP00        00NOME PARA PLAQUETA    00NOME DA PESSOA PARA CONTATO     000011003831870400001100218433280012345678910012345000065700010259193     00NOME DO PROPRIETARIO UM         000000381890768410021118900NOME DO PROPRIETARIO DOIS       000000381890768410014121600NOME DO PROPRIETARIO TRES       000000381890768410012121600F00C00T00M00N000011009708069990000110099937964100N</t>
  </si>
  <si>
    <t>000047303099875</t>
  </si>
  <si>
    <t>0001</t>
  </si>
  <si>
    <t>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</si>
</sst>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22222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49" fontId="0" fillId="0" borderId="0" xfId="0" applyNumberFormat="1"/>
    <xf numFmtId="0" fontId="0" fillId="0" borderId="0" xfId="0" applyNumberFormat="1"/>
    <xf numFmtId="0" fontId="1" fillId="2" borderId="0" xfId="0" applyFont="1" applyFill="1" applyBorder="1"/>
    <xf numFmtId="49" fontId="0" fillId="0" borderId="0" xfId="0" applyNumberFormat="1" applyAlignment="1">
      <alignment horizontal="center" vertical="center"/>
    </xf>
    <xf numFmtId="0" fontId="1" fillId="2" borderId="0" xfId="0" applyFont="1" applyFill="1" applyBorder="1" applyAlignment="1">
      <alignment horizontal="right"/>
    </xf>
    <xf numFmtId="0" fontId="0" fillId="0" borderId="0" xfId="0" applyAlignment="1"/>
    <xf numFmtId="0" fontId="3" fillId="0" borderId="0" xfId="0" applyFont="1"/>
    <xf numFmtId="0" fontId="2" fillId="3" borderId="1" xfId="0" applyFont="1" applyFill="1" applyBorder="1" applyAlignment="1">
      <alignment horizontal="center" vertical="center" wrapText="1"/>
    </xf>
    <xf numFmtId="0" fontId="2" fillId="3" borderId="0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left"/>
    </xf>
    <xf numFmtId="0" fontId="0" fillId="0" borderId="0" xfId="0" applyNumberFormat="1" applyAlignment="1">
      <alignment horizontal="center" vertical="center" wrapText="1"/>
    </xf>
  </cellXfs>
  <cellStyles count="1">
    <cellStyle name="Normal" xfId="0" builtinId="0"/>
  </cellStyles>
  <dxfs count="9">
    <dxf>
      <numFmt numFmtId="0" formatCode="General"/>
    </dxf>
    <dxf>
      <numFmt numFmtId="30" formatCode="@"/>
      <alignment horizontal="center" vertical="center" textRotation="0" wrapText="0" indent="0" justifyLastLine="0" shrinkToFit="0" readingOrder="0"/>
    </dxf>
    <dxf>
      <font>
        <b/>
        <i/>
        <color rgb="FFFF0000"/>
      </font>
    </dxf>
    <dxf>
      <font>
        <b/>
        <i/>
        <color rgb="FFFF0000"/>
      </font>
    </dxf>
    <dxf>
      <font>
        <b/>
        <i val="0"/>
        <color theme="4"/>
      </font>
      <border>
        <vertical/>
        <horizontal/>
      </border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color theme="1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2" name="SEC_v1.4" displayName="SEC_v1.4" ref="A7:F123" totalsRowShown="0">
  <autoFilter ref="A7:F123"/>
  <tableColumns count="6">
    <tableColumn id="1" name="CAMPO"/>
    <tableColumn id="2" name="CONFIG."/>
    <tableColumn id="3" name="POS"/>
    <tableColumn id="4" name="Num_Caracteres">
      <calculatedColumnFormula>C8-B8+1</calculatedColumnFormula>
    </tableColumn>
    <tableColumn id="5" name="Campos Extraídos" dataDxfId="1">
      <calculatedColumnFormula>MID(A$5,B8,D8)</calculatedColumnFormula>
    </tableColumn>
    <tableColumn id="6" name="Caracteres_Extração" dataDxfId="0">
      <calculatedColumnFormula>LEN(SEC_v1.4[[#This Row],[Campos Extraídos]])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F123"/>
  <sheetViews>
    <sheetView tabSelected="1" topLeftCell="A6" zoomScale="85" zoomScaleNormal="85" workbookViewId="0">
      <selection activeCell="E26" sqref="E26"/>
    </sheetView>
  </sheetViews>
  <sheetFormatPr defaultRowHeight="15" x14ac:dyDescent="0.25"/>
  <cols>
    <col min="1" max="1" width="46.28515625" bestFit="1" customWidth="1"/>
    <col min="2" max="2" width="10.5703125" customWidth="1"/>
    <col min="3" max="3" width="10.28515625" bestFit="1" customWidth="1"/>
    <col min="4" max="4" width="17.7109375" customWidth="1"/>
    <col min="5" max="5" width="46.85546875" customWidth="1"/>
    <col min="6" max="6" width="21.28515625" bestFit="1" customWidth="1"/>
  </cols>
  <sheetData>
    <row r="1" spans="1:6" ht="87" customHeight="1" x14ac:dyDescent="0.25">
      <c r="A1" s="8" t="s">
        <v>107</v>
      </c>
      <c r="B1" s="9"/>
      <c r="C1" s="9"/>
      <c r="D1" s="9"/>
      <c r="E1" s="9"/>
      <c r="F1" s="9"/>
    </row>
    <row r="2" spans="1:6" x14ac:dyDescent="0.25">
      <c r="D2" s="2"/>
      <c r="E2" s="1"/>
    </row>
    <row r="3" spans="1:6" x14ac:dyDescent="0.25">
      <c r="D3" s="2"/>
      <c r="E3" s="1"/>
    </row>
    <row r="4" spans="1:6" x14ac:dyDescent="0.25">
      <c r="A4" s="3" t="s">
        <v>120</v>
      </c>
      <c r="B4" s="3" t="s">
        <v>121</v>
      </c>
      <c r="D4" s="10" t="s">
        <v>122</v>
      </c>
      <c r="E4" s="10"/>
      <c r="F4" s="5" t="s">
        <v>121</v>
      </c>
    </row>
    <row r="5" spans="1:6" ht="15" customHeight="1" x14ac:dyDescent="0.25">
      <c r="A5" s="7" t="s">
        <v>125</v>
      </c>
      <c r="B5" s="6">
        <f>LEN(A5)</f>
        <v>730</v>
      </c>
      <c r="D5" s="11" t="str">
        <f>CONCATENATE(E8,E9,E10,E11,E12,E13,E14,E15,E16,E17,E18,E19,E20,E21,E22,E23,E24,E25,E26,E27,E28,E29,E30,E31,E32,E33,E34,E35,E36,E37,E38,E39,E40,E41,E42,E43,E44,E45,E46,E47,E48,E49,E50,E51,E52,E53,E54,E55,E56,E57,E58,E59,E60,E61,E62,E63,E64,E65,E66,E67,E68,E69,E70,E71,E72,E73,E74,E75,E76,E77,E78,E79,E80,E81,E82,E83,E84,E85,E86,E87,E88,E89,E90,E91,E92,E93,E94,E95,E96,E97,E98,E99,E100,E101,E102,E103,E104,E105,E106,E107,E108,E109,E110,E111,E112,E113,E114,E115,E116,E117,E118,E119,E120,E121,E122,E123)</f>
        <v>0450001AE54                   0000001000000000000YAMANTESTESCREDENCIAMENTO       00ENDERECO DE CORRESPONDENCIA 0001ENDERECO DE CORRESPONDENCIA 000200SAO PAULO                   00SP0012460001000000473030998750000000000000001500NOME FANTASIA                   00ENDERECO DO ESTABELECIMENTO 0001ENDERECO DO ESTABELECIMENTO 000200SAO PAULO                   00SP00        00NOME PARA PLAQUETA    00NOME DA PESSOA PARA CONTATO     000011003831870400001100218433280012345678910012345000065700010259193     00NOME DO PROPRIETARIO UM         000000381890768410021118900NOME DO PROPRIETARIO DOIS       000000381890768410014121600NOME DO PROPRIETARIO TRES       000000381890768410012121600F00C00T00M00N000011009708069990000110099937964100N</v>
      </c>
      <c r="E5" s="11"/>
      <c r="F5" s="6">
        <f>LEN(D5)</f>
        <v>730</v>
      </c>
    </row>
    <row r="6" spans="1:6" x14ac:dyDescent="0.25">
      <c r="D6" s="2"/>
      <c r="E6" s="1"/>
    </row>
    <row r="7" spans="1:6" x14ac:dyDescent="0.25">
      <c r="A7" t="s">
        <v>106</v>
      </c>
      <c r="B7" t="s">
        <v>105</v>
      </c>
      <c r="C7" t="s">
        <v>104</v>
      </c>
      <c r="D7" s="2" t="s">
        <v>103</v>
      </c>
      <c r="E7" s="1" t="s">
        <v>124</v>
      </c>
      <c r="F7" t="s">
        <v>123</v>
      </c>
    </row>
    <row r="8" spans="1:6" x14ac:dyDescent="0.25">
      <c r="A8" t="s">
        <v>102</v>
      </c>
      <c r="B8">
        <v>1</v>
      </c>
      <c r="C8">
        <v>3</v>
      </c>
      <c r="D8">
        <f>C8-B8+1</f>
        <v>3</v>
      </c>
      <c r="E8" s="4" t="str">
        <f t="shared" ref="E8:E71" si="0">MID(A$5,B8,D8)</f>
        <v>045</v>
      </c>
      <c r="F8">
        <f>LEN(SEC_v1.4[[#This Row],[Campos Extraídos]])</f>
        <v>3</v>
      </c>
    </row>
    <row r="9" spans="1:6" x14ac:dyDescent="0.25">
      <c r="A9" t="s">
        <v>101</v>
      </c>
      <c r="B9">
        <v>4</v>
      </c>
      <c r="C9">
        <v>7</v>
      </c>
      <c r="D9">
        <f t="shared" ref="D9:D72" si="1">C9-B9+1</f>
        <v>4</v>
      </c>
      <c r="E9" s="4" t="s">
        <v>127</v>
      </c>
      <c r="F9">
        <f>LEN(SEC_v1.4[[#This Row],[Campos Extraídos]])</f>
        <v>4</v>
      </c>
    </row>
    <row r="10" spans="1:6" x14ac:dyDescent="0.25">
      <c r="A10" t="s">
        <v>100</v>
      </c>
      <c r="B10">
        <v>8</v>
      </c>
      <c r="C10">
        <v>11</v>
      </c>
      <c r="D10">
        <f t="shared" si="1"/>
        <v>4</v>
      </c>
      <c r="E10" s="4" t="str">
        <f t="shared" si="0"/>
        <v>AE54</v>
      </c>
      <c r="F10">
        <f>LEN(SEC_v1.4[[#This Row],[Campos Extraídos]])</f>
        <v>4</v>
      </c>
    </row>
    <row r="11" spans="1:6" x14ac:dyDescent="0.25">
      <c r="A11" t="s">
        <v>99</v>
      </c>
      <c r="B11">
        <v>12</v>
      </c>
      <c r="C11">
        <v>30</v>
      </c>
      <c r="D11">
        <f t="shared" si="1"/>
        <v>19</v>
      </c>
      <c r="E11" s="4" t="str">
        <f t="shared" si="0"/>
        <v xml:space="preserve">                   </v>
      </c>
      <c r="F11">
        <f>LEN(SEC_v1.4[[#This Row],[Campos Extraídos]])</f>
        <v>19</v>
      </c>
    </row>
    <row r="12" spans="1:6" x14ac:dyDescent="0.25">
      <c r="A12" t="s">
        <v>98</v>
      </c>
      <c r="B12">
        <v>31</v>
      </c>
      <c r="C12">
        <v>32</v>
      </c>
      <c r="D12">
        <f t="shared" si="1"/>
        <v>2</v>
      </c>
      <c r="E12" s="4" t="str">
        <f t="shared" si="0"/>
        <v>00</v>
      </c>
      <c r="F12">
        <f>LEN(SEC_v1.4[[#This Row],[Campos Extraídos]])</f>
        <v>2</v>
      </c>
    </row>
    <row r="13" spans="1:6" x14ac:dyDescent="0.25">
      <c r="A13" t="s">
        <v>97</v>
      </c>
      <c r="B13">
        <v>33</v>
      </c>
      <c r="C13">
        <v>34</v>
      </c>
      <c r="D13">
        <f t="shared" si="1"/>
        <v>2</v>
      </c>
      <c r="E13" s="4" t="str">
        <f t="shared" si="0"/>
        <v>00</v>
      </c>
      <c r="F13">
        <f>LEN(SEC_v1.4[[#This Row],[Campos Extraídos]])</f>
        <v>2</v>
      </c>
    </row>
    <row r="14" spans="1:6" x14ac:dyDescent="0.25">
      <c r="A14" t="s">
        <v>26</v>
      </c>
      <c r="B14">
        <v>35</v>
      </c>
      <c r="C14">
        <v>37</v>
      </c>
      <c r="D14">
        <f t="shared" si="1"/>
        <v>3</v>
      </c>
      <c r="E14" s="4" t="s">
        <v>128</v>
      </c>
      <c r="F14">
        <f>LEN(SEC_v1.4[[#This Row],[Campos Extraídos]])</f>
        <v>3</v>
      </c>
    </row>
    <row r="15" spans="1:6" x14ac:dyDescent="0.25">
      <c r="A15" t="s">
        <v>96</v>
      </c>
      <c r="B15">
        <v>38</v>
      </c>
      <c r="C15">
        <v>47</v>
      </c>
      <c r="D15">
        <f t="shared" si="1"/>
        <v>10</v>
      </c>
      <c r="E15" s="4" t="str">
        <f t="shared" si="0"/>
        <v>0000000000</v>
      </c>
      <c r="F15">
        <f>LEN(SEC_v1.4[[#This Row],[Campos Extraídos]])</f>
        <v>10</v>
      </c>
    </row>
    <row r="16" spans="1:6" x14ac:dyDescent="0.25">
      <c r="A16" t="s">
        <v>95</v>
      </c>
      <c r="B16">
        <v>48</v>
      </c>
      <c r="C16">
        <v>49</v>
      </c>
      <c r="D16">
        <f t="shared" si="1"/>
        <v>2</v>
      </c>
      <c r="E16" s="4" t="str">
        <f t="shared" si="0"/>
        <v>00</v>
      </c>
      <c r="F16">
        <f>LEN(SEC_v1.4[[#This Row],[Campos Extraídos]])</f>
        <v>2</v>
      </c>
    </row>
    <row r="17" spans="1:6" x14ac:dyDescent="0.25">
      <c r="A17" t="s">
        <v>94</v>
      </c>
      <c r="B17">
        <v>50</v>
      </c>
      <c r="C17">
        <v>81</v>
      </c>
      <c r="D17">
        <f t="shared" si="1"/>
        <v>32</v>
      </c>
      <c r="E17" s="4" t="str">
        <f t="shared" si="0"/>
        <v xml:space="preserve">YAMANTESTESCREDENCIAMENTO       </v>
      </c>
      <c r="F17">
        <f>LEN(SEC_v1.4[[#This Row],[Campos Extraídos]])</f>
        <v>32</v>
      </c>
    </row>
    <row r="18" spans="1:6" x14ac:dyDescent="0.25">
      <c r="A18" t="s">
        <v>93</v>
      </c>
      <c r="B18">
        <v>82</v>
      </c>
      <c r="C18">
        <v>83</v>
      </c>
      <c r="D18">
        <f t="shared" si="1"/>
        <v>2</v>
      </c>
      <c r="E18" s="4" t="str">
        <f t="shared" si="0"/>
        <v>00</v>
      </c>
      <c r="F18">
        <f>LEN(SEC_v1.4[[#This Row],[Campos Extraídos]])</f>
        <v>2</v>
      </c>
    </row>
    <row r="19" spans="1:6" x14ac:dyDescent="0.25">
      <c r="A19" t="s">
        <v>92</v>
      </c>
      <c r="B19">
        <v>84</v>
      </c>
      <c r="C19">
        <v>115</v>
      </c>
      <c r="D19">
        <f t="shared" si="1"/>
        <v>32</v>
      </c>
      <c r="E19" s="4" t="str">
        <f t="shared" si="0"/>
        <v>ENDERECO DE CORRESPONDENCIA 0001</v>
      </c>
      <c r="F19">
        <f>LEN(SEC_v1.4[[#This Row],[Campos Extraídos]])</f>
        <v>32</v>
      </c>
    </row>
    <row r="20" spans="1:6" x14ac:dyDescent="0.25">
      <c r="A20" t="s">
        <v>91</v>
      </c>
      <c r="B20">
        <v>116</v>
      </c>
      <c r="C20">
        <v>147</v>
      </c>
      <c r="D20">
        <f t="shared" si="1"/>
        <v>32</v>
      </c>
      <c r="E20" s="4" t="str">
        <f t="shared" si="0"/>
        <v>ENDERECO DE CORRESPONDENCIA 0002</v>
      </c>
      <c r="F20">
        <f>LEN(SEC_v1.4[[#This Row],[Campos Extraídos]])</f>
        <v>32</v>
      </c>
    </row>
    <row r="21" spans="1:6" x14ac:dyDescent="0.25">
      <c r="A21" t="s">
        <v>90</v>
      </c>
      <c r="B21">
        <v>148</v>
      </c>
      <c r="C21">
        <v>149</v>
      </c>
      <c r="D21">
        <f t="shared" si="1"/>
        <v>2</v>
      </c>
      <c r="E21" s="4" t="str">
        <f t="shared" si="0"/>
        <v>00</v>
      </c>
      <c r="F21">
        <f>LEN(SEC_v1.4[[#This Row],[Campos Extraídos]])</f>
        <v>2</v>
      </c>
    </row>
    <row r="22" spans="1:6" x14ac:dyDescent="0.25">
      <c r="A22" t="s">
        <v>89</v>
      </c>
      <c r="B22">
        <v>150</v>
      </c>
      <c r="C22">
        <v>177</v>
      </c>
      <c r="D22">
        <f t="shared" si="1"/>
        <v>28</v>
      </c>
      <c r="E22" s="4" t="str">
        <f t="shared" si="0"/>
        <v xml:space="preserve">SAO PAULO                   </v>
      </c>
      <c r="F22">
        <f>LEN(SEC_v1.4[[#This Row],[Campos Extraídos]])</f>
        <v>28</v>
      </c>
    </row>
    <row r="23" spans="1:6" x14ac:dyDescent="0.25">
      <c r="A23" t="s">
        <v>88</v>
      </c>
      <c r="B23">
        <v>178</v>
      </c>
      <c r="C23">
        <v>179</v>
      </c>
      <c r="D23">
        <f t="shared" si="1"/>
        <v>2</v>
      </c>
      <c r="E23" s="4" t="str">
        <f t="shared" si="0"/>
        <v>00</v>
      </c>
      <c r="F23">
        <f>LEN(SEC_v1.4[[#This Row],[Campos Extraídos]])</f>
        <v>2</v>
      </c>
    </row>
    <row r="24" spans="1:6" x14ac:dyDescent="0.25">
      <c r="A24" t="s">
        <v>87</v>
      </c>
      <c r="B24">
        <v>180</v>
      </c>
      <c r="C24">
        <v>181</v>
      </c>
      <c r="D24">
        <f t="shared" si="1"/>
        <v>2</v>
      </c>
      <c r="E24" s="4" t="str">
        <f t="shared" si="0"/>
        <v>SP</v>
      </c>
      <c r="F24">
        <f>LEN(SEC_v1.4[[#This Row],[Campos Extraídos]])</f>
        <v>2</v>
      </c>
    </row>
    <row r="25" spans="1:6" x14ac:dyDescent="0.25">
      <c r="A25" t="s">
        <v>86</v>
      </c>
      <c r="B25">
        <v>182</v>
      </c>
      <c r="C25">
        <v>183</v>
      </c>
      <c r="D25">
        <f t="shared" si="1"/>
        <v>2</v>
      </c>
      <c r="E25" s="4" t="str">
        <f t="shared" si="0"/>
        <v>00</v>
      </c>
      <c r="F25">
        <f>LEN(SEC_v1.4[[#This Row],[Campos Extraídos]])</f>
        <v>2</v>
      </c>
    </row>
    <row r="26" spans="1:6" x14ac:dyDescent="0.25">
      <c r="A26" t="s">
        <v>85</v>
      </c>
      <c r="B26">
        <v>184</v>
      </c>
      <c r="C26">
        <v>191</v>
      </c>
      <c r="D26">
        <f t="shared" si="1"/>
        <v>8</v>
      </c>
      <c r="E26" s="4" t="str">
        <f t="shared" si="0"/>
        <v>12460001</v>
      </c>
      <c r="F26">
        <f>LEN(SEC_v1.4[[#This Row],[Campos Extraídos]])</f>
        <v>8</v>
      </c>
    </row>
    <row r="27" spans="1:6" x14ac:dyDescent="0.25">
      <c r="A27" t="s">
        <v>108</v>
      </c>
      <c r="B27">
        <v>192</v>
      </c>
      <c r="C27">
        <v>193</v>
      </c>
      <c r="D27">
        <f t="shared" si="1"/>
        <v>2</v>
      </c>
      <c r="E27" s="4" t="str">
        <f t="shared" si="0"/>
        <v>00</v>
      </c>
      <c r="F27">
        <f>LEN(SEC_v1.4[[#This Row],[Campos Extraídos]])</f>
        <v>2</v>
      </c>
    </row>
    <row r="28" spans="1:6" x14ac:dyDescent="0.25">
      <c r="A28" t="s">
        <v>109</v>
      </c>
      <c r="B28">
        <v>194</v>
      </c>
      <c r="C28">
        <v>208</v>
      </c>
      <c r="D28">
        <f t="shared" si="1"/>
        <v>15</v>
      </c>
      <c r="E28" s="4" t="s">
        <v>126</v>
      </c>
      <c r="F28">
        <f>LEN(SEC_v1.4[[#This Row],[Campos Extraídos]])</f>
        <v>15</v>
      </c>
    </row>
    <row r="29" spans="1:6" x14ac:dyDescent="0.25">
      <c r="A29" t="s">
        <v>84</v>
      </c>
      <c r="B29">
        <v>209</v>
      </c>
      <c r="C29">
        <v>210</v>
      </c>
      <c r="D29">
        <f t="shared" si="1"/>
        <v>2</v>
      </c>
      <c r="E29" s="4" t="str">
        <f t="shared" si="0"/>
        <v>00</v>
      </c>
      <c r="F29">
        <f>LEN(SEC_v1.4[[#This Row],[Campos Extraídos]])</f>
        <v>2</v>
      </c>
    </row>
    <row r="30" spans="1:6" x14ac:dyDescent="0.25">
      <c r="A30" t="s">
        <v>83</v>
      </c>
      <c r="B30">
        <v>211</v>
      </c>
      <c r="C30">
        <v>225</v>
      </c>
      <c r="D30">
        <f t="shared" si="1"/>
        <v>15</v>
      </c>
      <c r="E30" s="4" t="str">
        <f t="shared" si="0"/>
        <v>000000000000015</v>
      </c>
      <c r="F30">
        <f>LEN(SEC_v1.4[[#This Row],[Campos Extraídos]])</f>
        <v>15</v>
      </c>
    </row>
    <row r="31" spans="1:6" x14ac:dyDescent="0.25">
      <c r="A31" t="s">
        <v>82</v>
      </c>
      <c r="B31">
        <v>226</v>
      </c>
      <c r="C31">
        <v>227</v>
      </c>
      <c r="D31">
        <f t="shared" si="1"/>
        <v>2</v>
      </c>
      <c r="E31" s="4" t="str">
        <f t="shared" si="0"/>
        <v>00</v>
      </c>
      <c r="F31">
        <f>LEN(SEC_v1.4[[#This Row],[Campos Extraídos]])</f>
        <v>2</v>
      </c>
    </row>
    <row r="32" spans="1:6" x14ac:dyDescent="0.25">
      <c r="A32" t="s">
        <v>81</v>
      </c>
      <c r="B32">
        <v>228</v>
      </c>
      <c r="C32">
        <v>259</v>
      </c>
      <c r="D32">
        <f t="shared" si="1"/>
        <v>32</v>
      </c>
      <c r="E32" s="4" t="str">
        <f t="shared" si="0"/>
        <v xml:space="preserve">NOME FANTASIA                   </v>
      </c>
      <c r="F32">
        <f>LEN(SEC_v1.4[[#This Row],[Campos Extraídos]])</f>
        <v>32</v>
      </c>
    </row>
    <row r="33" spans="1:6" x14ac:dyDescent="0.25">
      <c r="A33" t="s">
        <v>80</v>
      </c>
      <c r="B33">
        <v>260</v>
      </c>
      <c r="C33">
        <v>261</v>
      </c>
      <c r="D33">
        <f t="shared" si="1"/>
        <v>2</v>
      </c>
      <c r="E33" s="4" t="str">
        <f t="shared" si="0"/>
        <v>00</v>
      </c>
      <c r="F33">
        <f>LEN(SEC_v1.4[[#This Row],[Campos Extraídos]])</f>
        <v>2</v>
      </c>
    </row>
    <row r="34" spans="1:6" x14ac:dyDescent="0.25">
      <c r="A34" t="s">
        <v>110</v>
      </c>
      <c r="B34">
        <v>262</v>
      </c>
      <c r="C34">
        <v>293</v>
      </c>
      <c r="D34">
        <f t="shared" si="1"/>
        <v>32</v>
      </c>
      <c r="E34" s="4" t="str">
        <f t="shared" si="0"/>
        <v>ENDERECO DO ESTABELECIMENTO 0001</v>
      </c>
      <c r="F34">
        <f>LEN(SEC_v1.4[[#This Row],[Campos Extraídos]])</f>
        <v>32</v>
      </c>
    </row>
    <row r="35" spans="1:6" x14ac:dyDescent="0.25">
      <c r="A35" t="s">
        <v>111</v>
      </c>
      <c r="B35">
        <v>294</v>
      </c>
      <c r="C35">
        <v>325</v>
      </c>
      <c r="D35">
        <f t="shared" si="1"/>
        <v>32</v>
      </c>
      <c r="E35" s="4" t="str">
        <f t="shared" si="0"/>
        <v>ENDERECO DO ESTABELECIMENTO 0002</v>
      </c>
      <c r="F35">
        <f>LEN(SEC_v1.4[[#This Row],[Campos Extraídos]])</f>
        <v>32</v>
      </c>
    </row>
    <row r="36" spans="1:6" x14ac:dyDescent="0.25">
      <c r="A36" t="s">
        <v>79</v>
      </c>
      <c r="B36">
        <v>326</v>
      </c>
      <c r="C36">
        <v>327</v>
      </c>
      <c r="D36">
        <f t="shared" si="1"/>
        <v>2</v>
      </c>
      <c r="E36" s="4" t="str">
        <f t="shared" si="0"/>
        <v>00</v>
      </c>
      <c r="F36">
        <f>LEN(SEC_v1.4[[#This Row],[Campos Extraídos]])</f>
        <v>2</v>
      </c>
    </row>
    <row r="37" spans="1:6" x14ac:dyDescent="0.25">
      <c r="A37" t="s">
        <v>78</v>
      </c>
      <c r="B37">
        <v>328</v>
      </c>
      <c r="C37">
        <v>355</v>
      </c>
      <c r="D37">
        <f t="shared" si="1"/>
        <v>28</v>
      </c>
      <c r="E37" s="4" t="str">
        <f t="shared" si="0"/>
        <v xml:space="preserve">SAO PAULO                   </v>
      </c>
      <c r="F37">
        <f>LEN(SEC_v1.4[[#This Row],[Campos Extraídos]])</f>
        <v>28</v>
      </c>
    </row>
    <row r="38" spans="1:6" x14ac:dyDescent="0.25">
      <c r="A38" t="s">
        <v>77</v>
      </c>
      <c r="B38">
        <v>356</v>
      </c>
      <c r="C38">
        <v>357</v>
      </c>
      <c r="D38">
        <f t="shared" si="1"/>
        <v>2</v>
      </c>
      <c r="E38" s="4" t="str">
        <f t="shared" si="0"/>
        <v>00</v>
      </c>
      <c r="F38">
        <f>LEN(SEC_v1.4[[#This Row],[Campos Extraídos]])</f>
        <v>2</v>
      </c>
    </row>
    <row r="39" spans="1:6" x14ac:dyDescent="0.25">
      <c r="A39" t="s">
        <v>76</v>
      </c>
      <c r="B39">
        <v>358</v>
      </c>
      <c r="C39">
        <v>359</v>
      </c>
      <c r="D39">
        <f t="shared" si="1"/>
        <v>2</v>
      </c>
      <c r="E39" s="4" t="str">
        <f t="shared" si="0"/>
        <v>SP</v>
      </c>
      <c r="F39">
        <f>LEN(SEC_v1.4[[#This Row],[Campos Extraídos]])</f>
        <v>2</v>
      </c>
    </row>
    <row r="40" spans="1:6" x14ac:dyDescent="0.25">
      <c r="A40" t="s">
        <v>75</v>
      </c>
      <c r="B40">
        <v>360</v>
      </c>
      <c r="C40">
        <v>361</v>
      </c>
      <c r="D40">
        <f t="shared" si="1"/>
        <v>2</v>
      </c>
      <c r="E40" s="4" t="str">
        <f t="shared" si="0"/>
        <v>00</v>
      </c>
      <c r="F40">
        <f>LEN(SEC_v1.4[[#This Row],[Campos Extraídos]])</f>
        <v>2</v>
      </c>
    </row>
    <row r="41" spans="1:6" x14ac:dyDescent="0.25">
      <c r="A41" t="s">
        <v>74</v>
      </c>
      <c r="B41">
        <v>362</v>
      </c>
      <c r="C41">
        <v>369</v>
      </c>
      <c r="D41">
        <f t="shared" si="1"/>
        <v>8</v>
      </c>
      <c r="E41" s="4" t="str">
        <f t="shared" si="0"/>
        <v xml:space="preserve">        </v>
      </c>
      <c r="F41">
        <f>LEN(SEC_v1.4[[#This Row],[Campos Extraídos]])</f>
        <v>8</v>
      </c>
    </row>
    <row r="42" spans="1:6" x14ac:dyDescent="0.25">
      <c r="A42" t="s">
        <v>73</v>
      </c>
      <c r="B42">
        <v>370</v>
      </c>
      <c r="C42">
        <v>371</v>
      </c>
      <c r="D42">
        <f t="shared" si="1"/>
        <v>2</v>
      </c>
      <c r="E42" s="4" t="str">
        <f t="shared" si="0"/>
        <v>00</v>
      </c>
      <c r="F42">
        <f>LEN(SEC_v1.4[[#This Row],[Campos Extraídos]])</f>
        <v>2</v>
      </c>
    </row>
    <row r="43" spans="1:6" x14ac:dyDescent="0.25">
      <c r="A43" t="s">
        <v>72</v>
      </c>
      <c r="B43">
        <v>372</v>
      </c>
      <c r="C43">
        <v>393</v>
      </c>
      <c r="D43">
        <f t="shared" si="1"/>
        <v>22</v>
      </c>
      <c r="E43" s="4" t="str">
        <f t="shared" si="0"/>
        <v xml:space="preserve">NOME PARA PLAQUETA    </v>
      </c>
      <c r="F43">
        <f>LEN(SEC_v1.4[[#This Row],[Campos Extraídos]])</f>
        <v>22</v>
      </c>
    </row>
    <row r="44" spans="1:6" x14ac:dyDescent="0.25">
      <c r="A44" t="s">
        <v>71</v>
      </c>
      <c r="B44">
        <v>394</v>
      </c>
      <c r="C44">
        <v>395</v>
      </c>
      <c r="D44">
        <f t="shared" si="1"/>
        <v>2</v>
      </c>
      <c r="E44" s="4" t="str">
        <f t="shared" si="0"/>
        <v>00</v>
      </c>
      <c r="F44">
        <f>LEN(SEC_v1.4[[#This Row],[Campos Extraídos]])</f>
        <v>2</v>
      </c>
    </row>
    <row r="45" spans="1:6" x14ac:dyDescent="0.25">
      <c r="A45" t="s">
        <v>70</v>
      </c>
      <c r="B45">
        <v>396</v>
      </c>
      <c r="C45">
        <v>427</v>
      </c>
      <c r="D45">
        <f t="shared" si="1"/>
        <v>32</v>
      </c>
      <c r="E45" s="4" t="str">
        <f t="shared" si="0"/>
        <v xml:space="preserve">NOME DA PESSOA PARA CONTATO     </v>
      </c>
      <c r="F45">
        <f>LEN(SEC_v1.4[[#This Row],[Campos Extraídos]])</f>
        <v>32</v>
      </c>
    </row>
    <row r="46" spans="1:6" x14ac:dyDescent="0.25">
      <c r="A46" t="s">
        <v>69</v>
      </c>
      <c r="B46">
        <v>428</v>
      </c>
      <c r="C46">
        <v>459</v>
      </c>
      <c r="D46">
        <f t="shared" si="1"/>
        <v>32</v>
      </c>
      <c r="E46" s="4" t="str">
        <f t="shared" si="0"/>
        <v>00001100383187040000110021843328</v>
      </c>
      <c r="F46">
        <f>LEN(SEC_v1.4[[#This Row],[Campos Extraídos]])</f>
        <v>32</v>
      </c>
    </row>
    <row r="47" spans="1:6" x14ac:dyDescent="0.25">
      <c r="A47" t="s">
        <v>68</v>
      </c>
      <c r="B47">
        <v>460</v>
      </c>
      <c r="C47">
        <v>461</v>
      </c>
      <c r="D47">
        <f t="shared" si="1"/>
        <v>2</v>
      </c>
      <c r="E47" s="4" t="str">
        <f t="shared" si="0"/>
        <v>00</v>
      </c>
      <c r="F47">
        <f>LEN(SEC_v1.4[[#This Row],[Campos Extraídos]])</f>
        <v>2</v>
      </c>
    </row>
    <row r="48" spans="1:6" x14ac:dyDescent="0.25">
      <c r="A48" t="s">
        <v>67</v>
      </c>
      <c r="B48">
        <v>462</v>
      </c>
      <c r="C48">
        <v>471</v>
      </c>
      <c r="D48">
        <f t="shared" si="1"/>
        <v>10</v>
      </c>
      <c r="E48" s="4" t="str">
        <f t="shared" si="0"/>
        <v>1234567891</v>
      </c>
      <c r="F48">
        <f>LEN(SEC_v1.4[[#This Row],[Campos Extraídos]])</f>
        <v>10</v>
      </c>
    </row>
    <row r="49" spans="1:6" x14ac:dyDescent="0.25">
      <c r="A49" t="s">
        <v>66</v>
      </c>
      <c r="B49">
        <v>472</v>
      </c>
      <c r="C49">
        <v>473</v>
      </c>
      <c r="D49">
        <f t="shared" si="1"/>
        <v>2</v>
      </c>
      <c r="E49" s="4" t="str">
        <f t="shared" si="0"/>
        <v>00</v>
      </c>
      <c r="F49">
        <f>LEN(SEC_v1.4[[#This Row],[Campos Extraídos]])</f>
        <v>2</v>
      </c>
    </row>
    <row r="50" spans="1:6" x14ac:dyDescent="0.25">
      <c r="A50" t="s">
        <v>65</v>
      </c>
      <c r="B50">
        <v>474</v>
      </c>
      <c r="C50">
        <v>478</v>
      </c>
      <c r="D50">
        <f t="shared" si="1"/>
        <v>5</v>
      </c>
      <c r="E50" s="4" t="str">
        <f t="shared" si="0"/>
        <v>12345</v>
      </c>
      <c r="F50">
        <f>LEN(SEC_v1.4[[#This Row],[Campos Extraídos]])</f>
        <v>5</v>
      </c>
    </row>
    <row r="51" spans="1:6" x14ac:dyDescent="0.25">
      <c r="A51" t="s">
        <v>64</v>
      </c>
      <c r="B51">
        <v>479</v>
      </c>
      <c r="C51">
        <v>480</v>
      </c>
      <c r="D51">
        <f t="shared" si="1"/>
        <v>2</v>
      </c>
      <c r="E51" s="4" t="str">
        <f t="shared" si="0"/>
        <v>00</v>
      </c>
      <c r="F51">
        <f>LEN(SEC_v1.4[[#This Row],[Campos Extraídos]])</f>
        <v>2</v>
      </c>
    </row>
    <row r="52" spans="1:6" x14ac:dyDescent="0.25">
      <c r="A52" t="s">
        <v>63</v>
      </c>
      <c r="B52">
        <v>481</v>
      </c>
      <c r="C52">
        <v>485</v>
      </c>
      <c r="D52">
        <f t="shared" si="1"/>
        <v>5</v>
      </c>
      <c r="E52" s="4" t="str">
        <f t="shared" si="0"/>
        <v>00657</v>
      </c>
      <c r="F52">
        <f>LEN(SEC_v1.4[[#This Row],[Campos Extraídos]])</f>
        <v>5</v>
      </c>
    </row>
    <row r="53" spans="1:6" x14ac:dyDescent="0.25">
      <c r="A53" t="s">
        <v>62</v>
      </c>
      <c r="B53">
        <v>486</v>
      </c>
      <c r="C53">
        <v>487</v>
      </c>
      <c r="D53">
        <f t="shared" si="1"/>
        <v>2</v>
      </c>
      <c r="E53" s="4" t="str">
        <f t="shared" si="0"/>
        <v>00</v>
      </c>
      <c r="F53">
        <f>LEN(SEC_v1.4[[#This Row],[Campos Extraídos]])</f>
        <v>2</v>
      </c>
    </row>
    <row r="54" spans="1:6" x14ac:dyDescent="0.25">
      <c r="A54" t="s">
        <v>61</v>
      </c>
      <c r="B54">
        <v>488</v>
      </c>
      <c r="C54">
        <v>501</v>
      </c>
      <c r="D54">
        <f t="shared" si="1"/>
        <v>14</v>
      </c>
      <c r="E54" s="4" t="str">
        <f t="shared" si="0"/>
        <v xml:space="preserve">010259193     </v>
      </c>
      <c r="F54">
        <f>LEN(SEC_v1.4[[#This Row],[Campos Extraídos]])</f>
        <v>14</v>
      </c>
    </row>
    <row r="55" spans="1:6" x14ac:dyDescent="0.25">
      <c r="A55" t="s">
        <v>60</v>
      </c>
      <c r="B55">
        <v>502</v>
      </c>
      <c r="C55">
        <v>503</v>
      </c>
      <c r="D55">
        <f t="shared" si="1"/>
        <v>2</v>
      </c>
      <c r="E55" s="4" t="str">
        <f t="shared" si="0"/>
        <v>00</v>
      </c>
      <c r="F55">
        <f>LEN(SEC_v1.4[[#This Row],[Campos Extraídos]])</f>
        <v>2</v>
      </c>
    </row>
    <row r="56" spans="1:6" x14ac:dyDescent="0.25">
      <c r="A56" t="s">
        <v>59</v>
      </c>
      <c r="B56">
        <v>504</v>
      </c>
      <c r="C56">
        <v>535</v>
      </c>
      <c r="D56">
        <f t="shared" si="1"/>
        <v>32</v>
      </c>
      <c r="E56" s="4" t="str">
        <f t="shared" si="0"/>
        <v xml:space="preserve">NOME DO PROPRIETARIO UM         </v>
      </c>
      <c r="F56">
        <f>LEN(SEC_v1.4[[#This Row],[Campos Extraídos]])</f>
        <v>32</v>
      </c>
    </row>
    <row r="57" spans="1:6" x14ac:dyDescent="0.25">
      <c r="A57" t="s">
        <v>58</v>
      </c>
      <c r="B57">
        <v>536</v>
      </c>
      <c r="C57">
        <v>537</v>
      </c>
      <c r="D57">
        <f t="shared" si="1"/>
        <v>2</v>
      </c>
      <c r="E57" s="4" t="str">
        <f t="shared" si="0"/>
        <v>00</v>
      </c>
      <c r="F57">
        <f>LEN(SEC_v1.4[[#This Row],[Campos Extraídos]])</f>
        <v>2</v>
      </c>
    </row>
    <row r="58" spans="1:6" x14ac:dyDescent="0.25">
      <c r="A58" t="s">
        <v>57</v>
      </c>
      <c r="B58">
        <v>538</v>
      </c>
      <c r="C58">
        <v>552</v>
      </c>
      <c r="D58">
        <f t="shared" si="1"/>
        <v>15</v>
      </c>
      <c r="E58" s="4" t="str">
        <f t="shared" si="0"/>
        <v>000038189076841</v>
      </c>
      <c r="F58">
        <f>LEN(SEC_v1.4[[#This Row],[Campos Extraídos]])</f>
        <v>15</v>
      </c>
    </row>
    <row r="59" spans="1:6" x14ac:dyDescent="0.25">
      <c r="A59" t="s">
        <v>56</v>
      </c>
      <c r="B59">
        <v>553</v>
      </c>
      <c r="C59">
        <v>554</v>
      </c>
      <c r="D59">
        <f t="shared" si="1"/>
        <v>2</v>
      </c>
      <c r="E59" s="4" t="str">
        <f t="shared" si="0"/>
        <v>00</v>
      </c>
      <c r="F59">
        <f>LEN(SEC_v1.4[[#This Row],[Campos Extraídos]])</f>
        <v>2</v>
      </c>
    </row>
    <row r="60" spans="1:6" x14ac:dyDescent="0.25">
      <c r="A60" t="s">
        <v>55</v>
      </c>
      <c r="B60">
        <v>555</v>
      </c>
      <c r="C60">
        <v>560</v>
      </c>
      <c r="D60">
        <f t="shared" si="1"/>
        <v>6</v>
      </c>
      <c r="E60" s="4" t="str">
        <f t="shared" si="0"/>
        <v>211189</v>
      </c>
      <c r="F60">
        <f>LEN(SEC_v1.4[[#This Row],[Campos Extraídos]])</f>
        <v>6</v>
      </c>
    </row>
    <row r="61" spans="1:6" x14ac:dyDescent="0.25">
      <c r="A61" t="s">
        <v>54</v>
      </c>
      <c r="B61">
        <v>561</v>
      </c>
      <c r="C61">
        <v>562</v>
      </c>
      <c r="D61">
        <f t="shared" si="1"/>
        <v>2</v>
      </c>
      <c r="E61" s="4" t="str">
        <f t="shared" si="0"/>
        <v>00</v>
      </c>
      <c r="F61">
        <f>LEN(SEC_v1.4[[#This Row],[Campos Extraídos]])</f>
        <v>2</v>
      </c>
    </row>
    <row r="62" spans="1:6" x14ac:dyDescent="0.25">
      <c r="A62" t="s">
        <v>53</v>
      </c>
      <c r="B62">
        <v>563</v>
      </c>
      <c r="C62">
        <v>594</v>
      </c>
      <c r="D62">
        <f t="shared" si="1"/>
        <v>32</v>
      </c>
      <c r="E62" s="4" t="str">
        <f t="shared" si="0"/>
        <v xml:space="preserve">NOME DO PROPRIETARIO DOIS       </v>
      </c>
      <c r="F62">
        <f>LEN(SEC_v1.4[[#This Row],[Campos Extraídos]])</f>
        <v>32</v>
      </c>
    </row>
    <row r="63" spans="1:6" x14ac:dyDescent="0.25">
      <c r="A63" t="s">
        <v>52</v>
      </c>
      <c r="B63">
        <v>595</v>
      </c>
      <c r="C63">
        <v>596</v>
      </c>
      <c r="D63">
        <f t="shared" si="1"/>
        <v>2</v>
      </c>
      <c r="E63" s="4" t="str">
        <f t="shared" si="0"/>
        <v>00</v>
      </c>
      <c r="F63">
        <f>LEN(SEC_v1.4[[#This Row],[Campos Extraídos]])</f>
        <v>2</v>
      </c>
    </row>
    <row r="64" spans="1:6" x14ac:dyDescent="0.25">
      <c r="A64" t="s">
        <v>51</v>
      </c>
      <c r="B64">
        <v>597</v>
      </c>
      <c r="C64">
        <v>611</v>
      </c>
      <c r="D64">
        <f t="shared" si="1"/>
        <v>15</v>
      </c>
      <c r="E64" s="4" t="str">
        <f t="shared" si="0"/>
        <v>000038189076841</v>
      </c>
      <c r="F64">
        <f>LEN(SEC_v1.4[[#This Row],[Campos Extraídos]])</f>
        <v>15</v>
      </c>
    </row>
    <row r="65" spans="1:6" x14ac:dyDescent="0.25">
      <c r="A65" t="s">
        <v>50</v>
      </c>
      <c r="B65">
        <v>612</v>
      </c>
      <c r="C65">
        <v>613</v>
      </c>
      <c r="D65">
        <f t="shared" si="1"/>
        <v>2</v>
      </c>
      <c r="E65" s="4" t="str">
        <f t="shared" si="0"/>
        <v>00</v>
      </c>
      <c r="F65">
        <f>LEN(SEC_v1.4[[#This Row],[Campos Extraídos]])</f>
        <v>2</v>
      </c>
    </row>
    <row r="66" spans="1:6" x14ac:dyDescent="0.25">
      <c r="A66" t="s">
        <v>49</v>
      </c>
      <c r="B66">
        <v>614</v>
      </c>
      <c r="C66">
        <v>619</v>
      </c>
      <c r="D66">
        <f t="shared" si="1"/>
        <v>6</v>
      </c>
      <c r="E66" s="4" t="str">
        <f t="shared" si="0"/>
        <v>141216</v>
      </c>
      <c r="F66">
        <f>LEN(SEC_v1.4[[#This Row],[Campos Extraídos]])</f>
        <v>6</v>
      </c>
    </row>
    <row r="67" spans="1:6" x14ac:dyDescent="0.25">
      <c r="A67" t="s">
        <v>48</v>
      </c>
      <c r="B67">
        <v>620</v>
      </c>
      <c r="C67">
        <v>621</v>
      </c>
      <c r="D67">
        <f t="shared" si="1"/>
        <v>2</v>
      </c>
      <c r="E67" s="4" t="str">
        <f t="shared" si="0"/>
        <v>00</v>
      </c>
      <c r="F67">
        <f>LEN(SEC_v1.4[[#This Row],[Campos Extraídos]])</f>
        <v>2</v>
      </c>
    </row>
    <row r="68" spans="1:6" x14ac:dyDescent="0.25">
      <c r="A68" t="s">
        <v>47</v>
      </c>
      <c r="B68">
        <v>622</v>
      </c>
      <c r="C68">
        <v>653</v>
      </c>
      <c r="D68">
        <f t="shared" si="1"/>
        <v>32</v>
      </c>
      <c r="E68" s="4" t="str">
        <f t="shared" si="0"/>
        <v xml:space="preserve">NOME DO PROPRIETARIO TRES       </v>
      </c>
      <c r="F68">
        <f>LEN(SEC_v1.4[[#This Row],[Campos Extraídos]])</f>
        <v>32</v>
      </c>
    </row>
    <row r="69" spans="1:6" x14ac:dyDescent="0.25">
      <c r="A69" t="s">
        <v>46</v>
      </c>
      <c r="B69">
        <v>654</v>
      </c>
      <c r="C69">
        <v>655</v>
      </c>
      <c r="D69">
        <f t="shared" si="1"/>
        <v>2</v>
      </c>
      <c r="E69" s="4" t="str">
        <f t="shared" si="0"/>
        <v>00</v>
      </c>
      <c r="F69">
        <f>LEN(SEC_v1.4[[#This Row],[Campos Extraídos]])</f>
        <v>2</v>
      </c>
    </row>
    <row r="70" spans="1:6" x14ac:dyDescent="0.25">
      <c r="A70" t="s">
        <v>45</v>
      </c>
      <c r="B70">
        <v>656</v>
      </c>
      <c r="C70">
        <v>670</v>
      </c>
      <c r="D70">
        <f t="shared" si="1"/>
        <v>15</v>
      </c>
      <c r="E70" s="4" t="str">
        <f t="shared" si="0"/>
        <v>000038189076841</v>
      </c>
      <c r="F70">
        <f>LEN(SEC_v1.4[[#This Row],[Campos Extraídos]])</f>
        <v>15</v>
      </c>
    </row>
    <row r="71" spans="1:6" x14ac:dyDescent="0.25">
      <c r="A71" t="s">
        <v>44</v>
      </c>
      <c r="B71">
        <v>671</v>
      </c>
      <c r="C71">
        <v>672</v>
      </c>
      <c r="D71">
        <f t="shared" si="1"/>
        <v>2</v>
      </c>
      <c r="E71" s="4" t="str">
        <f t="shared" si="0"/>
        <v>00</v>
      </c>
      <c r="F71">
        <f>LEN(SEC_v1.4[[#This Row],[Campos Extraídos]])</f>
        <v>2</v>
      </c>
    </row>
    <row r="72" spans="1:6" x14ac:dyDescent="0.25">
      <c r="A72" t="s">
        <v>43</v>
      </c>
      <c r="B72">
        <v>673</v>
      </c>
      <c r="C72">
        <v>678</v>
      </c>
      <c r="D72">
        <f t="shared" si="1"/>
        <v>6</v>
      </c>
      <c r="E72" s="4" t="str">
        <f t="shared" ref="E72:E123" si="2">MID(A$5,B72,D72)</f>
        <v>121216</v>
      </c>
      <c r="F72">
        <f>LEN(SEC_v1.4[[#This Row],[Campos Extraídos]])</f>
        <v>6</v>
      </c>
    </row>
    <row r="73" spans="1:6" x14ac:dyDescent="0.25">
      <c r="A73" t="s">
        <v>42</v>
      </c>
      <c r="B73">
        <v>679</v>
      </c>
      <c r="C73">
        <v>680</v>
      </c>
      <c r="D73">
        <f t="shared" ref="D73:D123" si="3">C73-B73+1</f>
        <v>2</v>
      </c>
      <c r="E73" s="4" t="str">
        <f t="shared" si="2"/>
        <v>00</v>
      </c>
      <c r="F73">
        <f>LEN(SEC_v1.4[[#This Row],[Campos Extraídos]])</f>
        <v>2</v>
      </c>
    </row>
    <row r="74" spans="1:6" x14ac:dyDescent="0.25">
      <c r="A74" t="s">
        <v>41</v>
      </c>
      <c r="B74">
        <v>681</v>
      </c>
      <c r="C74">
        <v>681</v>
      </c>
      <c r="D74">
        <f t="shared" si="3"/>
        <v>1</v>
      </c>
      <c r="E74" s="4" t="str">
        <f t="shared" si="2"/>
        <v>F</v>
      </c>
      <c r="F74">
        <f>LEN(SEC_v1.4[[#This Row],[Campos Extraídos]])</f>
        <v>1</v>
      </c>
    </row>
    <row r="75" spans="1:6" x14ac:dyDescent="0.25">
      <c r="A75" t="s">
        <v>40</v>
      </c>
      <c r="B75">
        <v>682</v>
      </c>
      <c r="C75">
        <v>683</v>
      </c>
      <c r="D75">
        <f t="shared" si="3"/>
        <v>2</v>
      </c>
      <c r="E75" s="4" t="str">
        <f t="shared" si="2"/>
        <v>00</v>
      </c>
      <c r="F75">
        <f>LEN(SEC_v1.4[[#This Row],[Campos Extraídos]])</f>
        <v>2</v>
      </c>
    </row>
    <row r="76" spans="1:6" x14ac:dyDescent="0.25">
      <c r="A76" t="s">
        <v>39</v>
      </c>
      <c r="B76">
        <v>684</v>
      </c>
      <c r="C76">
        <v>684</v>
      </c>
      <c r="D76">
        <f t="shared" si="3"/>
        <v>1</v>
      </c>
      <c r="E76" s="4" t="str">
        <f t="shared" si="2"/>
        <v>C</v>
      </c>
      <c r="F76">
        <f>LEN(SEC_v1.4[[#This Row],[Campos Extraídos]])</f>
        <v>1</v>
      </c>
    </row>
    <row r="77" spans="1:6" x14ac:dyDescent="0.25">
      <c r="A77" t="s">
        <v>38</v>
      </c>
      <c r="B77">
        <v>685</v>
      </c>
      <c r="C77">
        <v>686</v>
      </c>
      <c r="D77">
        <f t="shared" si="3"/>
        <v>2</v>
      </c>
      <c r="E77" s="4" t="str">
        <f t="shared" si="2"/>
        <v>00</v>
      </c>
      <c r="F77">
        <f>LEN(SEC_v1.4[[#This Row],[Campos Extraídos]])</f>
        <v>2</v>
      </c>
    </row>
    <row r="78" spans="1:6" x14ac:dyDescent="0.25">
      <c r="A78" t="s">
        <v>37</v>
      </c>
      <c r="B78">
        <v>687</v>
      </c>
      <c r="C78">
        <v>687</v>
      </c>
      <c r="D78">
        <f t="shared" si="3"/>
        <v>1</v>
      </c>
      <c r="E78" s="4" t="str">
        <f t="shared" si="2"/>
        <v>T</v>
      </c>
      <c r="F78">
        <f>LEN(SEC_v1.4[[#This Row],[Campos Extraídos]])</f>
        <v>1</v>
      </c>
    </row>
    <row r="79" spans="1:6" x14ac:dyDescent="0.25">
      <c r="A79" t="s">
        <v>36</v>
      </c>
      <c r="B79">
        <v>688</v>
      </c>
      <c r="C79">
        <v>689</v>
      </c>
      <c r="D79">
        <f t="shared" si="3"/>
        <v>2</v>
      </c>
      <c r="E79" s="4" t="str">
        <f t="shared" si="2"/>
        <v>00</v>
      </c>
      <c r="F79">
        <f>LEN(SEC_v1.4[[#This Row],[Campos Extraídos]])</f>
        <v>2</v>
      </c>
    </row>
    <row r="80" spans="1:6" x14ac:dyDescent="0.25">
      <c r="A80" t="s">
        <v>35</v>
      </c>
      <c r="B80">
        <v>690</v>
      </c>
      <c r="C80">
        <v>690</v>
      </c>
      <c r="D80">
        <f t="shared" si="3"/>
        <v>1</v>
      </c>
      <c r="E80" s="4" t="str">
        <f t="shared" si="2"/>
        <v>M</v>
      </c>
      <c r="F80">
        <f>LEN(SEC_v1.4[[#This Row],[Campos Extraídos]])</f>
        <v>1</v>
      </c>
    </row>
    <row r="81" spans="1:6" x14ac:dyDescent="0.25">
      <c r="A81" t="s">
        <v>34</v>
      </c>
      <c r="B81">
        <v>691</v>
      </c>
      <c r="C81">
        <v>692</v>
      </c>
      <c r="D81">
        <f t="shared" si="3"/>
        <v>2</v>
      </c>
      <c r="E81" s="4" t="str">
        <f t="shared" si="2"/>
        <v>00</v>
      </c>
      <c r="F81">
        <f>LEN(SEC_v1.4[[#This Row],[Campos Extraídos]])</f>
        <v>2</v>
      </c>
    </row>
    <row r="82" spans="1:6" x14ac:dyDescent="0.25">
      <c r="A82" t="s">
        <v>33</v>
      </c>
      <c r="B82">
        <v>693</v>
      </c>
      <c r="C82">
        <v>693</v>
      </c>
      <c r="D82">
        <f t="shared" si="3"/>
        <v>1</v>
      </c>
      <c r="E82" s="4" t="str">
        <f t="shared" si="2"/>
        <v>N</v>
      </c>
      <c r="F82">
        <f>LEN(SEC_v1.4[[#This Row],[Campos Extraídos]])</f>
        <v>1</v>
      </c>
    </row>
    <row r="83" spans="1:6" x14ac:dyDescent="0.25">
      <c r="A83" t="s">
        <v>112</v>
      </c>
      <c r="B83">
        <v>694</v>
      </c>
      <c r="C83">
        <v>695</v>
      </c>
      <c r="D83">
        <f t="shared" si="3"/>
        <v>2</v>
      </c>
      <c r="E83" s="4" t="str">
        <f t="shared" si="2"/>
        <v>00</v>
      </c>
      <c r="F83">
        <f>LEN(SEC_v1.4[[#This Row],[Campos Extraídos]])</f>
        <v>2</v>
      </c>
    </row>
    <row r="84" spans="1:6" x14ac:dyDescent="0.25">
      <c r="A84" t="s">
        <v>113</v>
      </c>
      <c r="B84">
        <v>696</v>
      </c>
      <c r="C84">
        <v>699</v>
      </c>
      <c r="D84">
        <f t="shared" si="3"/>
        <v>4</v>
      </c>
      <c r="E84" s="4" t="str">
        <f t="shared" si="2"/>
        <v>0011</v>
      </c>
      <c r="F84">
        <f>LEN(SEC_v1.4[[#This Row],[Campos Extraídos]])</f>
        <v>4</v>
      </c>
    </row>
    <row r="85" spans="1:6" x14ac:dyDescent="0.25">
      <c r="A85" t="s">
        <v>114</v>
      </c>
      <c r="B85">
        <v>700</v>
      </c>
      <c r="C85">
        <v>701</v>
      </c>
      <c r="D85">
        <f t="shared" si="3"/>
        <v>2</v>
      </c>
      <c r="E85" s="4" t="str">
        <f t="shared" si="2"/>
        <v>00</v>
      </c>
      <c r="F85">
        <f>LEN(SEC_v1.4[[#This Row],[Campos Extraídos]])</f>
        <v>2</v>
      </c>
    </row>
    <row r="86" spans="1:6" x14ac:dyDescent="0.25">
      <c r="A86" t="s">
        <v>115</v>
      </c>
      <c r="B86">
        <v>702</v>
      </c>
      <c r="C86">
        <v>710</v>
      </c>
      <c r="D86">
        <f t="shared" si="3"/>
        <v>9</v>
      </c>
      <c r="E86" s="4" t="str">
        <f t="shared" si="2"/>
        <v>970806999</v>
      </c>
      <c r="F86">
        <f>LEN(SEC_v1.4[[#This Row],[Campos Extraídos]])</f>
        <v>9</v>
      </c>
    </row>
    <row r="87" spans="1:6" x14ac:dyDescent="0.25">
      <c r="A87" t="s">
        <v>116</v>
      </c>
      <c r="B87">
        <v>711</v>
      </c>
      <c r="C87">
        <v>712</v>
      </c>
      <c r="D87">
        <f t="shared" si="3"/>
        <v>2</v>
      </c>
      <c r="E87" s="4" t="str">
        <f t="shared" si="2"/>
        <v>00</v>
      </c>
      <c r="F87">
        <f>LEN(SEC_v1.4[[#This Row],[Campos Extraídos]])</f>
        <v>2</v>
      </c>
    </row>
    <row r="88" spans="1:6" x14ac:dyDescent="0.25">
      <c r="A88" t="s">
        <v>117</v>
      </c>
      <c r="B88">
        <v>713</v>
      </c>
      <c r="C88">
        <v>716</v>
      </c>
      <c r="D88">
        <f t="shared" si="3"/>
        <v>4</v>
      </c>
      <c r="E88" s="4" t="str">
        <f t="shared" si="2"/>
        <v>0011</v>
      </c>
      <c r="F88">
        <f>LEN(SEC_v1.4[[#This Row],[Campos Extraídos]])</f>
        <v>4</v>
      </c>
    </row>
    <row r="89" spans="1:6" x14ac:dyDescent="0.25">
      <c r="A89" t="s">
        <v>118</v>
      </c>
      <c r="B89">
        <v>717</v>
      </c>
      <c r="C89">
        <v>718</v>
      </c>
      <c r="D89">
        <f t="shared" si="3"/>
        <v>2</v>
      </c>
      <c r="E89" s="4" t="str">
        <f t="shared" si="2"/>
        <v>00</v>
      </c>
      <c r="F89">
        <f>LEN(SEC_v1.4[[#This Row],[Campos Extraídos]])</f>
        <v>2</v>
      </c>
    </row>
    <row r="90" spans="1:6" x14ac:dyDescent="0.25">
      <c r="A90" t="s">
        <v>119</v>
      </c>
      <c r="B90">
        <v>719</v>
      </c>
      <c r="C90">
        <v>727</v>
      </c>
      <c r="D90">
        <f t="shared" si="3"/>
        <v>9</v>
      </c>
      <c r="E90" s="4" t="str">
        <f t="shared" si="2"/>
        <v>999379641</v>
      </c>
      <c r="F90">
        <f>LEN(SEC_v1.4[[#This Row],[Campos Extraídos]])</f>
        <v>9</v>
      </c>
    </row>
    <row r="91" spans="1:6" x14ac:dyDescent="0.25">
      <c r="A91" t="s">
        <v>32</v>
      </c>
      <c r="B91">
        <v>728</v>
      </c>
      <c r="C91">
        <v>729</v>
      </c>
      <c r="D91">
        <f t="shared" si="3"/>
        <v>2</v>
      </c>
      <c r="E91" s="4" t="str">
        <f t="shared" si="2"/>
        <v>00</v>
      </c>
      <c r="F91">
        <f>LEN(SEC_v1.4[[#This Row],[Campos Extraídos]])</f>
        <v>2</v>
      </c>
    </row>
    <row r="92" spans="1:6" x14ac:dyDescent="0.25">
      <c r="A92" t="s">
        <v>31</v>
      </c>
      <c r="B92">
        <v>730</v>
      </c>
      <c r="C92">
        <v>730</v>
      </c>
      <c r="D92">
        <f t="shared" si="3"/>
        <v>1</v>
      </c>
      <c r="E92" s="4" t="str">
        <f t="shared" si="2"/>
        <v>N</v>
      </c>
      <c r="F92">
        <f>LEN(SEC_v1.4[[#This Row],[Campos Extraídos]])</f>
        <v>1</v>
      </c>
    </row>
    <row r="93" spans="1:6" x14ac:dyDescent="0.25">
      <c r="A93" t="s">
        <v>30</v>
      </c>
      <c r="B93">
        <v>731</v>
      </c>
      <c r="C93">
        <v>1179</v>
      </c>
      <c r="D93">
        <f t="shared" si="3"/>
        <v>449</v>
      </c>
      <c r="E93" s="4" t="str">
        <f t="shared" si="2"/>
        <v/>
      </c>
      <c r="F93">
        <f>LEN(SEC_v1.4[[#This Row],[Campos Extraídos]])</f>
        <v>0</v>
      </c>
    </row>
    <row r="94" spans="1:6" x14ac:dyDescent="0.25">
      <c r="A94" t="s">
        <v>29</v>
      </c>
      <c r="B94">
        <v>1180</v>
      </c>
      <c r="C94">
        <v>1470</v>
      </c>
      <c r="D94">
        <f t="shared" si="3"/>
        <v>291</v>
      </c>
      <c r="E94" s="4" t="str">
        <f t="shared" si="2"/>
        <v/>
      </c>
      <c r="F94">
        <f>LEN(SEC_v1.4[[#This Row],[Campos Extraídos]])</f>
        <v>0</v>
      </c>
    </row>
    <row r="95" spans="1:6" x14ac:dyDescent="0.25">
      <c r="A95" t="s">
        <v>28</v>
      </c>
      <c r="B95">
        <v>1471</v>
      </c>
      <c r="C95">
        <v>1478</v>
      </c>
      <c r="D95">
        <f t="shared" si="3"/>
        <v>8</v>
      </c>
      <c r="E95" s="4" t="str">
        <f t="shared" si="2"/>
        <v/>
      </c>
      <c r="F95">
        <f>LEN(SEC_v1.4[[#This Row],[Campos Extraídos]])</f>
        <v>0</v>
      </c>
    </row>
    <row r="96" spans="1:6" x14ac:dyDescent="0.25">
      <c r="A96" t="s">
        <v>27</v>
      </c>
      <c r="B96">
        <v>1479</v>
      </c>
      <c r="C96">
        <v>1480</v>
      </c>
      <c r="D96">
        <f t="shared" si="3"/>
        <v>2</v>
      </c>
      <c r="E96" s="4" t="str">
        <f t="shared" si="2"/>
        <v/>
      </c>
      <c r="F96">
        <f>LEN(SEC_v1.4[[#This Row],[Campos Extraídos]])</f>
        <v>0</v>
      </c>
    </row>
    <row r="97" spans="1:6" x14ac:dyDescent="0.25">
      <c r="A97" t="s">
        <v>26</v>
      </c>
      <c r="B97">
        <v>1481</v>
      </c>
      <c r="C97">
        <v>1484</v>
      </c>
      <c r="D97">
        <f t="shared" si="3"/>
        <v>4</v>
      </c>
      <c r="E97" s="4" t="str">
        <f t="shared" si="2"/>
        <v/>
      </c>
      <c r="F97">
        <f>LEN(SEC_v1.4[[#This Row],[Campos Extraídos]])</f>
        <v>0</v>
      </c>
    </row>
    <row r="98" spans="1:6" x14ac:dyDescent="0.25">
      <c r="A98" t="s">
        <v>25</v>
      </c>
      <c r="B98">
        <v>1485</v>
      </c>
      <c r="C98">
        <v>1486</v>
      </c>
      <c r="D98">
        <f t="shared" si="3"/>
        <v>2</v>
      </c>
      <c r="E98" s="4" t="str">
        <f t="shared" si="2"/>
        <v/>
      </c>
      <c r="F98">
        <f>LEN(SEC_v1.4[[#This Row],[Campos Extraídos]])</f>
        <v>0</v>
      </c>
    </row>
    <row r="99" spans="1:6" x14ac:dyDescent="0.25">
      <c r="A99" t="s">
        <v>24</v>
      </c>
      <c r="B99">
        <v>1487</v>
      </c>
      <c r="C99">
        <v>1491</v>
      </c>
      <c r="D99">
        <f t="shared" si="3"/>
        <v>5</v>
      </c>
      <c r="E99" s="4" t="str">
        <f t="shared" si="2"/>
        <v/>
      </c>
      <c r="F99">
        <f>LEN(SEC_v1.4[[#This Row],[Campos Extraídos]])</f>
        <v>0</v>
      </c>
    </row>
    <row r="100" spans="1:6" x14ac:dyDescent="0.25">
      <c r="A100" t="s">
        <v>23</v>
      </c>
      <c r="B100">
        <v>1492</v>
      </c>
      <c r="C100">
        <v>1493</v>
      </c>
      <c r="D100">
        <f t="shared" si="3"/>
        <v>2</v>
      </c>
      <c r="E100" s="4" t="str">
        <f t="shared" si="2"/>
        <v/>
      </c>
      <c r="F100">
        <f>LEN(SEC_v1.4[[#This Row],[Campos Extraídos]])</f>
        <v>0</v>
      </c>
    </row>
    <row r="101" spans="1:6" x14ac:dyDescent="0.25">
      <c r="A101" t="s">
        <v>22</v>
      </c>
      <c r="B101">
        <v>1494</v>
      </c>
      <c r="C101">
        <v>1507</v>
      </c>
      <c r="D101">
        <f t="shared" si="3"/>
        <v>14</v>
      </c>
      <c r="E101" s="4" t="str">
        <f t="shared" si="2"/>
        <v/>
      </c>
      <c r="F101">
        <f>LEN(SEC_v1.4[[#This Row],[Campos Extraídos]])</f>
        <v>0</v>
      </c>
    </row>
    <row r="102" spans="1:6" x14ac:dyDescent="0.25">
      <c r="A102" t="s">
        <v>21</v>
      </c>
      <c r="B102">
        <v>1508</v>
      </c>
      <c r="C102">
        <v>1509</v>
      </c>
      <c r="D102">
        <f t="shared" si="3"/>
        <v>2</v>
      </c>
      <c r="E102" s="4" t="str">
        <f t="shared" si="2"/>
        <v/>
      </c>
      <c r="F102">
        <f>LEN(SEC_v1.4[[#This Row],[Campos Extraídos]])</f>
        <v>0</v>
      </c>
    </row>
    <row r="103" spans="1:6" x14ac:dyDescent="0.25">
      <c r="A103" t="s">
        <v>20</v>
      </c>
      <c r="B103">
        <v>1510</v>
      </c>
      <c r="C103">
        <v>1510</v>
      </c>
      <c r="D103">
        <f t="shared" si="3"/>
        <v>1</v>
      </c>
      <c r="E103" s="4" t="str">
        <f t="shared" si="2"/>
        <v/>
      </c>
      <c r="F103">
        <f>LEN(SEC_v1.4[[#This Row],[Campos Extraídos]])</f>
        <v>0</v>
      </c>
    </row>
    <row r="104" spans="1:6" x14ac:dyDescent="0.25">
      <c r="A104" t="s">
        <v>19</v>
      </c>
      <c r="B104">
        <v>1511</v>
      </c>
      <c r="C104">
        <v>1512</v>
      </c>
      <c r="D104">
        <f t="shared" si="3"/>
        <v>2</v>
      </c>
      <c r="E104" s="4" t="str">
        <f t="shared" si="2"/>
        <v/>
      </c>
      <c r="F104">
        <f>LEN(SEC_v1.4[[#This Row],[Campos Extraídos]])</f>
        <v>0</v>
      </c>
    </row>
    <row r="105" spans="1:6" x14ac:dyDescent="0.25">
      <c r="A105" t="s">
        <v>18</v>
      </c>
      <c r="B105">
        <v>1513</v>
      </c>
      <c r="C105">
        <v>1513</v>
      </c>
      <c r="D105">
        <f t="shared" si="3"/>
        <v>1</v>
      </c>
      <c r="E105" s="4" t="str">
        <f t="shared" si="2"/>
        <v/>
      </c>
      <c r="F105">
        <f>LEN(SEC_v1.4[[#This Row],[Campos Extraídos]])</f>
        <v>0</v>
      </c>
    </row>
    <row r="106" spans="1:6" x14ac:dyDescent="0.25">
      <c r="A106" t="s">
        <v>17</v>
      </c>
      <c r="B106">
        <v>1514</v>
      </c>
      <c r="C106">
        <v>1515</v>
      </c>
      <c r="D106">
        <f t="shared" si="3"/>
        <v>2</v>
      </c>
      <c r="E106" s="4" t="str">
        <f t="shared" si="2"/>
        <v/>
      </c>
      <c r="F106">
        <f>LEN(SEC_v1.4[[#This Row],[Campos Extraídos]])</f>
        <v>0</v>
      </c>
    </row>
    <row r="107" spans="1:6" x14ac:dyDescent="0.25">
      <c r="A107" t="s">
        <v>16</v>
      </c>
      <c r="B107">
        <v>1516</v>
      </c>
      <c r="C107">
        <v>1516</v>
      </c>
      <c r="D107">
        <f t="shared" si="3"/>
        <v>1</v>
      </c>
      <c r="E107" s="4" t="str">
        <f t="shared" si="2"/>
        <v/>
      </c>
      <c r="F107">
        <f>LEN(SEC_v1.4[[#This Row],[Campos Extraídos]])</f>
        <v>0</v>
      </c>
    </row>
    <row r="108" spans="1:6" x14ac:dyDescent="0.25">
      <c r="A108" t="s">
        <v>15</v>
      </c>
      <c r="B108">
        <v>1517</v>
      </c>
      <c r="C108">
        <v>1533</v>
      </c>
      <c r="D108">
        <f t="shared" si="3"/>
        <v>17</v>
      </c>
      <c r="E108" s="4" t="str">
        <f t="shared" si="2"/>
        <v/>
      </c>
      <c r="F108">
        <f>LEN(SEC_v1.4[[#This Row],[Campos Extraídos]])</f>
        <v>0</v>
      </c>
    </row>
    <row r="109" spans="1:6" x14ac:dyDescent="0.25">
      <c r="A109" t="s">
        <v>14</v>
      </c>
      <c r="B109">
        <v>1534</v>
      </c>
      <c r="C109">
        <v>1555</v>
      </c>
      <c r="D109">
        <f t="shared" si="3"/>
        <v>22</v>
      </c>
      <c r="E109" s="4" t="str">
        <f t="shared" si="2"/>
        <v/>
      </c>
      <c r="F109">
        <f>LEN(SEC_v1.4[[#This Row],[Campos Extraídos]])</f>
        <v>0</v>
      </c>
    </row>
    <row r="110" spans="1:6" x14ac:dyDescent="0.25">
      <c r="A110" t="s">
        <v>13</v>
      </c>
      <c r="B110">
        <v>1556</v>
      </c>
      <c r="C110">
        <v>1557</v>
      </c>
      <c r="D110">
        <f t="shared" si="3"/>
        <v>2</v>
      </c>
      <c r="E110" s="4" t="str">
        <f t="shared" si="2"/>
        <v/>
      </c>
      <c r="F110">
        <f>LEN(SEC_v1.4[[#This Row],[Campos Extraídos]])</f>
        <v>0</v>
      </c>
    </row>
    <row r="111" spans="1:6" x14ac:dyDescent="0.25">
      <c r="A111" t="s">
        <v>12</v>
      </c>
      <c r="B111">
        <v>1558</v>
      </c>
      <c r="C111">
        <v>1558</v>
      </c>
      <c r="D111">
        <f t="shared" si="3"/>
        <v>1</v>
      </c>
      <c r="E111" s="4" t="str">
        <f t="shared" si="2"/>
        <v/>
      </c>
      <c r="F111">
        <f>LEN(SEC_v1.4[[#This Row],[Campos Extraídos]])</f>
        <v>0</v>
      </c>
    </row>
    <row r="112" spans="1:6" x14ac:dyDescent="0.25">
      <c r="A112" t="s">
        <v>11</v>
      </c>
      <c r="B112">
        <v>1559</v>
      </c>
      <c r="C112">
        <v>1560</v>
      </c>
      <c r="D112">
        <f t="shared" si="3"/>
        <v>2</v>
      </c>
      <c r="E112" s="4" t="str">
        <f t="shared" si="2"/>
        <v/>
      </c>
      <c r="F112">
        <f>LEN(SEC_v1.4[[#This Row],[Campos Extraídos]])</f>
        <v>0</v>
      </c>
    </row>
    <row r="113" spans="1:6" x14ac:dyDescent="0.25">
      <c r="A113" t="s">
        <v>10</v>
      </c>
      <c r="B113">
        <v>1561</v>
      </c>
      <c r="C113">
        <v>1565</v>
      </c>
      <c r="D113">
        <f t="shared" si="3"/>
        <v>5</v>
      </c>
      <c r="E113" s="4" t="str">
        <f t="shared" si="2"/>
        <v/>
      </c>
      <c r="F113">
        <f>LEN(SEC_v1.4[[#This Row],[Campos Extraídos]])</f>
        <v>0</v>
      </c>
    </row>
    <row r="114" spans="1:6" x14ac:dyDescent="0.25">
      <c r="A114" t="s">
        <v>9</v>
      </c>
      <c r="B114">
        <v>1566</v>
      </c>
      <c r="C114">
        <v>1567</v>
      </c>
      <c r="D114">
        <f t="shared" si="3"/>
        <v>2</v>
      </c>
      <c r="E114" s="4" t="str">
        <f t="shared" si="2"/>
        <v/>
      </c>
      <c r="F114">
        <f>LEN(SEC_v1.4[[#This Row],[Campos Extraídos]])</f>
        <v>0</v>
      </c>
    </row>
    <row r="115" spans="1:6" x14ac:dyDescent="0.25">
      <c r="A115" t="s">
        <v>8</v>
      </c>
      <c r="B115">
        <v>1568</v>
      </c>
      <c r="C115">
        <v>1570</v>
      </c>
      <c r="D115">
        <f t="shared" si="3"/>
        <v>3</v>
      </c>
      <c r="E115" s="4" t="str">
        <f t="shared" si="2"/>
        <v/>
      </c>
      <c r="F115">
        <f>LEN(SEC_v1.4[[#This Row],[Campos Extraídos]])</f>
        <v>0</v>
      </c>
    </row>
    <row r="116" spans="1:6" x14ac:dyDescent="0.25">
      <c r="A116" t="s">
        <v>7</v>
      </c>
      <c r="B116">
        <v>1571</v>
      </c>
      <c r="C116">
        <v>1572</v>
      </c>
      <c r="D116">
        <f t="shared" si="3"/>
        <v>2</v>
      </c>
      <c r="E116" s="4" t="str">
        <f t="shared" si="2"/>
        <v/>
      </c>
      <c r="F116">
        <f>LEN(SEC_v1.4[[#This Row],[Campos Extraídos]])</f>
        <v>0</v>
      </c>
    </row>
    <row r="117" spans="1:6" x14ac:dyDescent="0.25">
      <c r="A117" t="s">
        <v>6</v>
      </c>
      <c r="B117">
        <v>1573</v>
      </c>
      <c r="C117">
        <v>1573</v>
      </c>
      <c r="D117">
        <f t="shared" si="3"/>
        <v>1</v>
      </c>
      <c r="E117" s="4" t="str">
        <f t="shared" si="2"/>
        <v/>
      </c>
      <c r="F117">
        <f>LEN(SEC_v1.4[[#This Row],[Campos Extraídos]])</f>
        <v>0</v>
      </c>
    </row>
    <row r="118" spans="1:6" x14ac:dyDescent="0.25">
      <c r="A118" t="s">
        <v>5</v>
      </c>
      <c r="B118">
        <v>1574</v>
      </c>
      <c r="C118">
        <v>1575</v>
      </c>
      <c r="D118">
        <f t="shared" si="3"/>
        <v>2</v>
      </c>
      <c r="E118" s="4" t="str">
        <f t="shared" si="2"/>
        <v/>
      </c>
      <c r="F118">
        <f>LEN(SEC_v1.4[[#This Row],[Campos Extraídos]])</f>
        <v>0</v>
      </c>
    </row>
    <row r="119" spans="1:6" x14ac:dyDescent="0.25">
      <c r="A119" t="s">
        <v>4</v>
      </c>
      <c r="B119">
        <v>1576</v>
      </c>
      <c r="C119">
        <v>1580</v>
      </c>
      <c r="D119">
        <f t="shared" si="3"/>
        <v>5</v>
      </c>
      <c r="E119" s="4" t="str">
        <f t="shared" si="2"/>
        <v/>
      </c>
      <c r="F119">
        <f>LEN(SEC_v1.4[[#This Row],[Campos Extraídos]])</f>
        <v>0</v>
      </c>
    </row>
    <row r="120" spans="1:6" x14ac:dyDescent="0.25">
      <c r="A120" t="s">
        <v>3</v>
      </c>
      <c r="B120">
        <v>1581</v>
      </c>
      <c r="C120">
        <v>1582</v>
      </c>
      <c r="D120">
        <f t="shared" si="3"/>
        <v>2</v>
      </c>
      <c r="E120" s="4" t="str">
        <f t="shared" si="2"/>
        <v/>
      </c>
      <c r="F120">
        <f>LEN(SEC_v1.4[[#This Row],[Campos Extraídos]])</f>
        <v>0</v>
      </c>
    </row>
    <row r="121" spans="1:6" x14ac:dyDescent="0.25">
      <c r="A121" t="s">
        <v>2</v>
      </c>
      <c r="B121">
        <v>1583</v>
      </c>
      <c r="C121">
        <v>1585</v>
      </c>
      <c r="D121">
        <f t="shared" si="3"/>
        <v>3</v>
      </c>
      <c r="E121" s="4" t="str">
        <f t="shared" si="2"/>
        <v/>
      </c>
      <c r="F121">
        <f>LEN(SEC_v1.4[[#This Row],[Campos Extraídos]])</f>
        <v>0</v>
      </c>
    </row>
    <row r="122" spans="1:6" x14ac:dyDescent="0.25">
      <c r="A122" t="s">
        <v>1</v>
      </c>
      <c r="B122">
        <v>1586</v>
      </c>
      <c r="C122">
        <v>1889</v>
      </c>
      <c r="D122">
        <f t="shared" si="3"/>
        <v>304</v>
      </c>
      <c r="E122" s="4" t="str">
        <f t="shared" si="2"/>
        <v/>
      </c>
      <c r="F122">
        <f>LEN(SEC_v1.4[[#This Row],[Campos Extraídos]])</f>
        <v>0</v>
      </c>
    </row>
    <row r="123" spans="1:6" x14ac:dyDescent="0.25">
      <c r="A123" t="s">
        <v>0</v>
      </c>
      <c r="B123">
        <v>1890</v>
      </c>
      <c r="C123">
        <v>1920</v>
      </c>
      <c r="D123">
        <f t="shared" si="3"/>
        <v>31</v>
      </c>
      <c r="E123" s="4" t="str">
        <f t="shared" si="2"/>
        <v/>
      </c>
      <c r="F123">
        <f>LEN(SEC_v1.4[[#This Row],[Campos Extraídos]])</f>
        <v>0</v>
      </c>
    </row>
  </sheetData>
  <mergeCells count="3">
    <mergeCell ref="A1:F1"/>
    <mergeCell ref="D4:E4"/>
    <mergeCell ref="D5:E5"/>
  </mergeCells>
  <conditionalFormatting sqref="A8:E128">
    <cfRule type="expression" dxfId="8" priority="7">
      <formula>AND(SEARCH("Flag",$A8,1)=1,TRIM($E8)="")</formula>
    </cfRule>
    <cfRule type="expression" dxfId="7" priority="8">
      <formula>AND(SEARCH("Flag",$A8,1)=1,$E8="00")</formula>
    </cfRule>
    <cfRule type="expression" dxfId="6" priority="9">
      <formula>AND(SEARCH("Flag",$A8,1)=1,$E8&lt;&gt;"00",$E8&lt;&gt;"")</formula>
    </cfRule>
  </conditionalFormatting>
  <conditionalFormatting sqref="F8:F123">
    <cfRule type="expression" dxfId="5" priority="6">
      <formula>($F8&lt;&gt;$D8)</formula>
    </cfRule>
  </conditionalFormatting>
  <conditionalFormatting sqref="F8:F123">
    <cfRule type="expression" dxfId="4" priority="5">
      <formula>($F8=$D8)</formula>
    </cfRule>
  </conditionalFormatting>
  <conditionalFormatting sqref="F5">
    <cfRule type="expression" dxfId="3" priority="3">
      <formula>$E$5&lt;&gt;$B$5</formula>
    </cfRule>
  </conditionalFormatting>
  <conditionalFormatting sqref="B5">
    <cfRule type="expression" dxfId="2" priority="1">
      <formula>$E$5&lt;&gt;$B$5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SEC_v1.4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glauco.ramalho</dc:creator>
  <cp:lastModifiedBy>gabriel.fraga</cp:lastModifiedBy>
  <dcterms:created xsi:type="dcterms:W3CDTF">2016-12-13T16:57:58Z</dcterms:created>
  <dcterms:modified xsi:type="dcterms:W3CDTF">2017-04-11T13:22:20Z</dcterms:modified>
</cp:coreProperties>
</file>